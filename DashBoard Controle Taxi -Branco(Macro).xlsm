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K:\Taxi\"/>
    </mc:Choice>
  </mc:AlternateContent>
  <xr:revisionPtr revIDLastSave="0" documentId="13_ncr:1_{C615DF92-AD1F-43FC-B3E4-46F590677B68}" xr6:coauthVersionLast="45" xr6:coauthVersionMax="45" xr10:uidLastSave="{00000000-0000-0000-0000-000000000000}"/>
  <bookViews>
    <workbookView xWindow="-120" yWindow="-120" windowWidth="38640" windowHeight="16440" xr2:uid="{F2ADEA99-68A9-4ACE-8E34-04A524FA3015}"/>
  </bookViews>
  <sheets>
    <sheet name="Planilha1" sheetId="4" r:id="rId1"/>
    <sheet name="Registros" sheetId="1" r:id="rId2"/>
    <sheet name="Auxiliar" sheetId="2" r:id="rId3"/>
    <sheet name="Dashboard" sheetId="3" r:id="rId4"/>
  </sheets>
  <definedNames>
    <definedName name="Ano">Auxiliar!$B$4</definedName>
    <definedName name="indiceAno">Auxiliar!$A$4</definedName>
    <definedName name="indiceMes">Auxiliar!$C$4</definedName>
    <definedName name="listaAnos">Auxiliar!$A$6:$A$17</definedName>
    <definedName name="listaMeses">Auxiliar!$C$6:$C$17</definedName>
    <definedName name="Mes">Auxiliar!$D$4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H2" i="1"/>
  <c r="J13" i="4" l="1"/>
  <c r="B4" i="2" l="1"/>
  <c r="D4" i="2"/>
  <c r="I14" i="2" l="1"/>
  <c r="D14" i="2"/>
  <c r="M12" i="2"/>
  <c r="I10" i="2"/>
  <c r="I6" i="2"/>
  <c r="F10" i="2"/>
  <c r="F14" i="2"/>
  <c r="F6" i="2"/>
  <c r="E10" i="2"/>
  <c r="E14" i="2"/>
  <c r="E6" i="2"/>
  <c r="D10" i="2"/>
  <c r="D6" i="2"/>
  <c r="I17" i="2"/>
  <c r="F17" i="2"/>
  <c r="E17" i="2"/>
  <c r="D13" i="2"/>
  <c r="I7" i="2"/>
  <c r="I11" i="2"/>
  <c r="I15" i="2"/>
  <c r="F7" i="2"/>
  <c r="F11" i="2"/>
  <c r="F15" i="2"/>
  <c r="E7" i="2"/>
  <c r="E11" i="2"/>
  <c r="E15" i="2"/>
  <c r="D7" i="2"/>
  <c r="D11" i="2"/>
  <c r="D15" i="2"/>
  <c r="I9" i="2"/>
  <c r="F9" i="2"/>
  <c r="E9" i="2"/>
  <c r="D17" i="2"/>
  <c r="I8" i="2"/>
  <c r="I12" i="2"/>
  <c r="I16" i="2"/>
  <c r="F8" i="2"/>
  <c r="F12" i="2"/>
  <c r="F16" i="2"/>
  <c r="E8" i="2"/>
  <c r="E12" i="2"/>
  <c r="E16" i="2"/>
  <c r="D8" i="2"/>
  <c r="D12" i="2"/>
  <c r="D16" i="2"/>
  <c r="I13" i="2"/>
  <c r="F13" i="2"/>
  <c r="E13" i="2"/>
  <c r="D9" i="2"/>
  <c r="I3" i="2"/>
  <c r="J3" i="2"/>
  <c r="G14" i="2" l="1"/>
  <c r="L22" i="2" s="1"/>
  <c r="G6" i="2"/>
  <c r="G16" i="2"/>
  <c r="G10" i="2"/>
  <c r="L18" i="2" s="1"/>
  <c r="G15" i="2"/>
  <c r="G9" i="2"/>
  <c r="G8" i="2"/>
  <c r="G7" i="2"/>
  <c r="G17" i="2"/>
  <c r="G13" i="2"/>
  <c r="G12" i="2"/>
  <c r="G11" i="2"/>
  <c r="L14" i="2" l="1"/>
  <c r="K7" i="2"/>
  <c r="J14" i="2"/>
  <c r="J10" i="2"/>
  <c r="J6" i="2"/>
  <c r="J7" i="2"/>
  <c r="L15" i="2"/>
  <c r="J17" i="2"/>
  <c r="L25" i="2"/>
  <c r="J15" i="2"/>
  <c r="L23" i="2"/>
  <c r="J11" i="2"/>
  <c r="L19" i="2"/>
  <c r="J12" i="2"/>
  <c r="L20" i="2"/>
  <c r="J8" i="2"/>
  <c r="L16" i="2"/>
  <c r="J13" i="2"/>
  <c r="L21" i="2"/>
  <c r="J9" i="2"/>
  <c r="L17" i="2"/>
  <c r="J16" i="2"/>
  <c r="L24" i="2"/>
  <c r="B21" i="2"/>
  <c r="F29" i="2" l="1"/>
  <c r="F31" i="2" s="1"/>
  <c r="B20" i="2"/>
  <c r="B24" i="2"/>
  <c r="B26" i="2" s="1"/>
</calcChain>
</file>

<file path=xl/sharedStrings.xml><?xml version="1.0" encoding="utf-8"?>
<sst xmlns="http://schemas.openxmlformats.org/spreadsheetml/2006/main" count="84" uniqueCount="50">
  <si>
    <t>Diária</t>
  </si>
  <si>
    <t>Combustível</t>
  </si>
  <si>
    <t>Manutenção</t>
  </si>
  <si>
    <t>Índice</t>
  </si>
  <si>
    <t>Meses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</si>
  <si>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</si>
  <si>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</si>
  <si>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</si>
  <si>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</si>
  <si>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</si>
  <si>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</si>
  <si>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</si>
  <si>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</si>
  <si>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</si>
  <si>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</si>
  <si>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</si>
  <si>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</si>
  <si>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Ano</t>
  </si>
  <si>
    <t>Mês</t>
  </si>
  <si>
    <t>Dashboard de Controle Taxi</t>
  </si>
  <si>
    <t>KM</t>
  </si>
  <si>
    <t>Valores das Diárias Mensal (Bruto) +</t>
  </si>
  <si>
    <t>Diárias(R$) +</t>
  </si>
  <si>
    <t>Período</t>
  </si>
  <si>
    <t>Valor KM Rodado</t>
  </si>
  <si>
    <t>Km Rodado(Mês)</t>
  </si>
  <si>
    <t>Lucro (Mês)</t>
  </si>
  <si>
    <t>Planilha de Controle Taxi</t>
  </si>
  <si>
    <t>Gráfico Velocímetro 360</t>
  </si>
  <si>
    <t>Rótulos</t>
  </si>
  <si>
    <t>Valores</t>
  </si>
  <si>
    <t>Meta</t>
  </si>
  <si>
    <t>Diferença</t>
  </si>
  <si>
    <t>Diárias</t>
  </si>
  <si>
    <t>Valor</t>
  </si>
  <si>
    <t>Ponteiro</t>
  </si>
  <si>
    <t>Valores dos Objetivos Anuais (Gráfico 360º)</t>
  </si>
  <si>
    <t>Meta Anual</t>
  </si>
  <si>
    <t>Ruim</t>
  </si>
  <si>
    <t>Regular</t>
  </si>
  <si>
    <t>Bom</t>
  </si>
  <si>
    <t>Ótimo</t>
  </si>
  <si>
    <t>Acréscimo de 50% Meta 240º</t>
  </si>
  <si>
    <t>Gráfico Velocímetro 240º</t>
  </si>
  <si>
    <t>ID</t>
  </si>
  <si>
    <t>Data</t>
  </si>
  <si>
    <t>Cadastro de Dados Taxi</t>
  </si>
  <si>
    <t>combustível</t>
  </si>
  <si>
    <t>Obs:Creditar o KM uma única vez por Mês</t>
  </si>
  <si>
    <t>Média Sálario Mensal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</si>
</sst>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&quot;\ #,##0.00"/>
    <numFmt numFmtId="165" formatCode="_-&quot;R$&quot;\ * #,##0_-;\-&quot;R$&quot;\ * #,##0_-;_-&quot;R$&quot;\ 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Arial"/>
      <family val="2"/>
    </font>
    <font>
      <b/>
      <sz val="16"/>
      <color theme="0"/>
      <name val="Arial"/>
      <family val="2"/>
    </font>
    <font>
      <b/>
      <sz val="22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 vertical="center"/>
    </xf>
    <xf numFmtId="0" fontId="4" fillId="4" borderId="1" xfId="0" applyFont="1" applyFill="1" applyBorder="1"/>
    <xf numFmtId="0" fontId="0" fillId="6" borderId="1" xfId="0" applyFill="1" applyBorder="1"/>
    <xf numFmtId="0" fontId="0" fillId="5" borderId="1" xfId="0" applyFill="1" applyBorder="1"/>
    <xf numFmtId="0" fontId="0" fillId="0" borderId="0" xfId="0" applyNumberFormat="1" applyAlignment="1">
      <alignment horizontal="center" vertical="center"/>
    </xf>
    <xf numFmtId="1" fontId="2" fillId="6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164" fontId="2" fillId="7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/>
    <xf numFmtId="0" fontId="1" fillId="2" borderId="2" xfId="0" applyFont="1" applyFill="1" applyBorder="1" applyAlignment="1"/>
    <xf numFmtId="164" fontId="0" fillId="5" borderId="1" xfId="0" applyNumberFormat="1" applyFill="1" applyBorder="1"/>
    <xf numFmtId="0" fontId="1" fillId="2" borderId="0" xfId="0" applyFont="1" applyFill="1" applyBorder="1" applyAlignment="1"/>
    <xf numFmtId="9" fontId="0" fillId="5" borderId="1" xfId="0" applyNumberFormat="1" applyFill="1" applyBorder="1"/>
    <xf numFmtId="0" fontId="8" fillId="4" borderId="1" xfId="0" applyFont="1" applyFill="1" applyBorder="1" applyAlignment="1">
      <alignment horizontal="left" indent="1"/>
    </xf>
    <xf numFmtId="165" fontId="9" fillId="5" borderId="1" xfId="0" applyNumberFormat="1" applyFont="1" applyFill="1" applyBorder="1" applyAlignment="1">
      <alignment horizontal="left"/>
    </xf>
    <xf numFmtId="0" fontId="9" fillId="5" borderId="1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9" fontId="9" fillId="5" borderId="1" xfId="0" applyNumberFormat="1" applyFont="1" applyFill="1" applyBorder="1" applyAlignment="1">
      <alignment horizontal="center"/>
    </xf>
    <xf numFmtId="164" fontId="0" fillId="5" borderId="1" xfId="0" applyNumberFormat="1" applyFont="1" applyFill="1" applyBorder="1"/>
    <xf numFmtId="0" fontId="0" fillId="5" borderId="1" xfId="0" applyFill="1" applyBorder="1" applyAlignment="1">
      <alignment horizontal="center" vertical="center"/>
    </xf>
    <xf numFmtId="44" fontId="0" fillId="5" borderId="1" xfId="1" applyNumberFormat="1" applyFont="1" applyFill="1" applyBorder="1" applyAlignment="1">
      <alignment horizontal="center"/>
    </xf>
    <xf numFmtId="44" fontId="9" fillId="5" borderId="1" xfId="0" applyNumberFormat="1" applyFont="1" applyFill="1" applyBorder="1" applyAlignment="1">
      <alignment horizontal="center"/>
    </xf>
    <xf numFmtId="0" fontId="0" fillId="2" borderId="0" xfId="0" applyFill="1"/>
    <xf numFmtId="0" fontId="12" fillId="2" borderId="0" xfId="0" applyFont="1" applyFill="1"/>
    <xf numFmtId="1" fontId="0" fillId="6" borderId="1" xfId="0" applyNumberFormat="1" applyFont="1" applyFill="1" applyBorder="1" applyAlignment="1">
      <alignment horizontal="center"/>
    </xf>
    <xf numFmtId="164" fontId="0" fillId="6" borderId="2" xfId="0" applyNumberFormat="1" applyFont="1" applyFill="1" applyBorder="1" applyAlignment="1">
      <alignment horizontal="center"/>
    </xf>
    <xf numFmtId="164" fontId="0" fillId="6" borderId="3" xfId="0" applyNumberFormat="1" applyFont="1" applyFill="1" applyBorder="1" applyAlignment="1">
      <alignment horizontal="center"/>
    </xf>
    <xf numFmtId="164" fontId="0" fillId="6" borderId="4" xfId="0" applyNumberFormat="1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14" fontId="0" fillId="6" borderId="1" xfId="0" quotePrefix="1" applyNumberFormat="1" applyFont="1" applyFill="1" applyBorder="1" applyAlignment="1">
      <alignment horizontal="center"/>
    </xf>
    <xf numFmtId="14" fontId="0" fillId="6" borderId="1" xfId="0" applyNumberFormat="1" applyFont="1" applyFill="1" applyBorder="1" applyAlignment="1">
      <alignment horizontal="center"/>
    </xf>
    <xf numFmtId="164" fontId="0" fillId="6" borderId="1" xfId="0" applyNumberFormat="1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164" fontId="9" fillId="5" borderId="2" xfId="0" applyNumberFormat="1" applyFont="1" applyFill="1" applyBorder="1" applyAlignment="1">
      <alignment horizontal="center"/>
    </xf>
    <xf numFmtId="44" fontId="9" fillId="5" borderId="3" xfId="0" applyNumberFormat="1" applyFont="1" applyFill="1" applyBorder="1" applyAlignment="1">
      <alignment horizontal="center"/>
    </xf>
    <xf numFmtId="44" fontId="9" fillId="5" borderId="4" xfId="0" applyNumberFormat="1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2">
    <cellStyle name="Normal" xfId="0" builtinId="0"/>
    <cellStyle name="Porcentagem" xfId="1" builtinId="5"/>
  </cellStyles>
  <dxfs count="13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9" formatCode="dd/mm/yyyy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&quot;R$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Auxiliar!$J$19</c:f>
              <c:strCache>
                <c:ptCount val="1"/>
                <c:pt idx="0">
                  <c:v>Valores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tint val="4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C3-44AE-911E-793B8AF5C9E2}"/>
              </c:ext>
            </c:extLst>
          </c:dPt>
          <c:dPt>
            <c:idx val="1"/>
            <c:bubble3D val="0"/>
            <c:spPr>
              <a:solidFill>
                <a:schemeClr val="accent4">
                  <a:tint val="5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C3-44AE-911E-793B8AF5C9E2}"/>
              </c:ext>
            </c:extLst>
          </c:dPt>
          <c:dPt>
            <c:idx val="2"/>
            <c:bubble3D val="0"/>
            <c:spPr>
              <a:solidFill>
                <a:schemeClr val="accent4">
                  <a:tint val="6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C3-44AE-911E-793B8AF5C9E2}"/>
              </c:ext>
            </c:extLst>
          </c:dPt>
          <c:dPt>
            <c:idx val="3"/>
            <c:bubble3D val="0"/>
            <c:spPr>
              <a:solidFill>
                <a:schemeClr val="accent4">
                  <a:tint val="8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3C3-44AE-911E-793B8AF5C9E2}"/>
              </c:ext>
            </c:extLst>
          </c:dPt>
          <c:dPt>
            <c:idx val="4"/>
            <c:bubble3D val="0"/>
            <c:spPr>
              <a:solidFill>
                <a:schemeClr val="accent4">
                  <a:tint val="9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3C3-44AE-911E-793B8AF5C9E2}"/>
              </c:ext>
            </c:extLst>
          </c:dPt>
          <c:dPt>
            <c:idx val="5"/>
            <c:bubble3D val="0"/>
            <c:spPr>
              <a:solidFill>
                <a:schemeClr val="accent4">
                  <a:shade val="9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3C3-44AE-911E-793B8AF5C9E2}"/>
              </c:ext>
            </c:extLst>
          </c:dPt>
          <c:dPt>
            <c:idx val="6"/>
            <c:bubble3D val="0"/>
            <c:spPr>
              <a:solidFill>
                <a:schemeClr val="accent4">
                  <a:shade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3C3-44AE-911E-793B8AF5C9E2}"/>
              </c:ext>
            </c:extLst>
          </c:dPt>
          <c:dPt>
            <c:idx val="7"/>
            <c:bubble3D val="0"/>
            <c:spPr>
              <a:solidFill>
                <a:schemeClr val="accent4">
                  <a:shade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3C3-44AE-911E-793B8AF5C9E2}"/>
              </c:ext>
            </c:extLst>
          </c:dPt>
          <c:dPt>
            <c:idx val="8"/>
            <c:bubble3D val="0"/>
            <c:spPr>
              <a:solidFill>
                <a:schemeClr val="accent4">
                  <a:shade val="5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3C3-44AE-911E-793B8AF5C9E2}"/>
              </c:ext>
            </c:extLst>
          </c:dPt>
          <c:dPt>
            <c:idx val="9"/>
            <c:bubble3D val="0"/>
            <c:spPr>
              <a:solidFill>
                <a:schemeClr val="accent4">
                  <a:shade val="4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3C3-44AE-911E-793B8AF5C9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Auxiliar!$I$20:$I$29</c:f>
              <c:numCache>
                <c:formatCode>0%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</c:numCache>
            </c:numRef>
          </c:cat>
          <c:val>
            <c:numRef>
              <c:f>Auxiliar!$J$20:$J$29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3C3-44AE-911E-793B8AF5C9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80"/>
        <c:holeSize val="50"/>
      </c:doughnut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17-4CAE-B089-3E4FF723C47C}"/>
              </c:ext>
            </c:extLst>
          </c:dPt>
          <c:dPt>
            <c:idx val="1"/>
            <c:bubble3D val="0"/>
            <c:spPr>
              <a:solidFill>
                <a:schemeClr val="accent2">
                  <a:lumMod val="50000"/>
                </a:schemeClr>
              </a:solidFill>
              <a:ln w="76200">
                <a:solidFill>
                  <a:schemeClr val="accent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17-4CAE-B089-3E4FF723C4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17-4CAE-B089-3E4FF723C47C}"/>
              </c:ext>
            </c:extLst>
          </c:dPt>
          <c:cat>
            <c:strRef>
              <c:f>Auxiliar!$A$23:$A$26</c:f>
              <c:strCache>
                <c:ptCount val="4"/>
                <c:pt idx="0">
                  <c:v>Meta</c:v>
                </c:pt>
                <c:pt idx="1">
                  <c:v>Valor</c:v>
                </c:pt>
                <c:pt idx="2">
                  <c:v>Ponteiro</c:v>
                </c:pt>
                <c:pt idx="3">
                  <c:v>Diferença</c:v>
                </c:pt>
              </c:strCache>
            </c:strRef>
          </c:cat>
          <c:val>
            <c:numRef>
              <c:f>Auxiliar!$B$24:$B$26</c:f>
              <c:numCache>
                <c:formatCode>0%</c:formatCode>
                <c:ptCount val="3"/>
                <c:pt idx="0">
                  <c:v>1.6000000000000001E-3</c:v>
                </c:pt>
                <c:pt idx="1">
                  <c:v>0</c:v>
                </c:pt>
                <c:pt idx="2">
                  <c:v>0.99839999999999995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E17-4CAE-B089-3E4FF723C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8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3D-4ABD-9078-114AEBB918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3D-4ABD-9078-114AEBB9185B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D3D-4ABD-9078-114AEBB9185B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D3D-4ABD-9078-114AEBB9185B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D3D-4ABD-9078-114AEBB9185B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D3D-4ABD-9078-114AEBB9185B}"/>
              </c:ext>
            </c:extLst>
          </c:dPt>
          <c:dLbls>
            <c:spPr>
              <a:noFill/>
              <a:ln>
                <a:noFill/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Auxiliar!$E$20:$E$23</c:f>
              <c:strCache>
                <c:ptCount val="4"/>
                <c:pt idx="0">
                  <c:v> Ruim </c:v>
                </c:pt>
                <c:pt idx="1">
                  <c:v> Regular </c:v>
                </c:pt>
                <c:pt idx="2">
                  <c:v> Bom </c:v>
                </c:pt>
                <c:pt idx="3">
                  <c:v> Ótimo </c:v>
                </c:pt>
              </c:strCache>
            </c:strRef>
          </c:cat>
          <c:val>
            <c:numRef>
              <c:f>Auxiliar!$F$20:$F$25</c:f>
              <c:numCache>
                <c:formatCode>General</c:formatCode>
                <c:ptCount val="6"/>
                <c:pt idx="0">
                  <c:v>1.5</c:v>
                </c:pt>
                <c:pt idx="1">
                  <c:v>1</c:v>
                </c:pt>
                <c:pt idx="2">
                  <c:v>1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D3D-4ABD-9078-114AEBB9185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40"/>
        <c:holeSize val="50"/>
      </c:doughnut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29-4F15-A92E-E10A3C6D749E}"/>
              </c:ext>
            </c:extLst>
          </c:dPt>
          <c:dPt>
            <c:idx val="1"/>
            <c:bubble3D val="0"/>
            <c:spPr>
              <a:solidFill>
                <a:schemeClr val="accent2">
                  <a:lumMod val="50000"/>
                </a:schemeClr>
              </a:solidFill>
              <a:ln w="76200">
                <a:solidFill>
                  <a:schemeClr val="accent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F29-4F15-A92E-E10A3C6D749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F29-4F15-A92E-E10A3C6D749E}"/>
              </c:ext>
            </c:extLst>
          </c:dPt>
          <c:val>
            <c:numRef>
              <c:f>Auxiliar!$F$29:$F$31</c:f>
              <c:numCache>
                <c:formatCode>_("R$"* #,##0.00_);_("R$"* \(#,##0.00\);_("R$"* "-"??_);_(@_)</c:formatCode>
                <c:ptCount val="3"/>
                <c:pt idx="0">
                  <c:v>80</c:v>
                </c:pt>
                <c:pt idx="1">
                  <c:v>0</c:v>
                </c:pt>
                <c:pt idx="2">
                  <c:v>7420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29-4F15-A92E-E10A3C6D7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[0]!Ano</c:f>
          <c:strCache>
            <c:ptCount val="1"/>
            <c:pt idx="0">
              <c:v>2020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Auxiliar!$D$5</c:f>
              <c:strCache>
                <c:ptCount val="1"/>
                <c:pt idx="0">
                  <c:v>Diárias(R$) +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Auxiliar!$C$6:$C$17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Auxiliar!$D$6:$D$17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FC-4C6D-952E-8EABCE26FEDC}"/>
            </c:ext>
          </c:extLst>
        </c:ser>
        <c:ser>
          <c:idx val="1"/>
          <c:order val="1"/>
          <c:tx>
            <c:strRef>
              <c:f>Auxiliar!$E$5</c:f>
              <c:strCache>
                <c:ptCount val="1"/>
                <c:pt idx="0">
                  <c:v>Combustível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Auxiliar!$C$6:$C$17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Auxiliar!$E$6:$E$17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FC-4C6D-952E-8EABCE26FEDC}"/>
            </c:ext>
          </c:extLst>
        </c:ser>
        <c:ser>
          <c:idx val="2"/>
          <c:order val="2"/>
          <c:tx>
            <c:strRef>
              <c:f>Auxiliar!$F$5</c:f>
              <c:strCache>
                <c:ptCount val="1"/>
                <c:pt idx="0">
                  <c:v>Manutenção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Auxiliar!$C$6:$C$17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Auxiliar!$F$6:$F$17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FC-4C6D-952E-8EABCE26FEDC}"/>
            </c:ext>
          </c:extLst>
        </c:ser>
        <c:ser>
          <c:idx val="3"/>
          <c:order val="3"/>
          <c:tx>
            <c:strRef>
              <c:f>Auxiliar!$G$5</c:f>
              <c:strCache>
                <c:ptCount val="1"/>
                <c:pt idx="0">
                  <c:v>Lucro (Mês)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Auxiliar!$C$6:$C$17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Auxiliar!$G$6:$G$17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FC-4C6D-952E-8EABCE26FE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81947528"/>
        <c:axId val="681947200"/>
        <c:extLst>
          <c:ext xmlns:c15="http://schemas.microsoft.com/office/drawing/2012/chart" uri="{02D57815-91ED-43cb-92C2-25804820EDAC}">
            <c15:filteredBa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Auxiliar!$H$5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Auxiliar!$C$6:$C$17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Auxiliar!$H$6:$H$17</c15:sqref>
                        </c15:formulaRef>
                      </c:ext>
                    </c:extLst>
                    <c:numCache>
                      <c:formatCode>"R$"\ #,##0.00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B9FC-4C6D-952E-8EABCE26FEDC}"/>
                  </c:ext>
                </c:extLst>
              </c15:ser>
            </c15:filteredBarSeries>
          </c:ext>
        </c:extLst>
      </c:barChart>
      <c:catAx>
        <c:axId val="68194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1947200"/>
        <c:crosses val="autoZero"/>
        <c:auto val="1"/>
        <c:lblAlgn val="ctr"/>
        <c:lblOffset val="100"/>
        <c:noMultiLvlLbl val="0"/>
      </c:catAx>
      <c:valAx>
        <c:axId val="681947200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68194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List" dx="22" fmlaLink="Auxiliar!$A$4" fmlaRange="listaAnos" noThreeD="1" sel="1" val="0"/>
</file>

<file path=xl/ctrlProps/ctrlProp2.xml><?xml version="1.0" encoding="utf-8"?>
<formControlPr xmlns="http://schemas.microsoft.com/office/spreadsheetml/2009/9/main" objectType="List" dx="22" fmlaLink="Auxiliar!$C$4" fmlaRange="listaMeses" noThreeD="1" sel="9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666750</xdr:colOff>
      <xdr:row>19</xdr:row>
      <xdr:rowOff>117475</xdr:rowOff>
    </xdr:from>
    <xdr:to>
      <xdr:col>10</xdr:col>
      <xdr:colOff>412650</xdr:colOff>
      <xdr:row>20</xdr:row>
      <xdr:rowOff>106975</xdr:rowOff>
    </xdr:to>
    <xdr:sp macro="[0]!Adicionar_Dados_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43550" y="3622675"/>
          <a:ext cx="1155600" cy="180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Cadastrar</a:t>
          </a:r>
        </a:p>
      </xdr:txBody>
    </xdr:sp>
    <xdr:clientData/>
  </xdr:twoCellAnchor>
  <xdr:twoCellAnchor>
    <xdr:from>
      <xdr:col>11</xdr:col>
      <xdr:colOff>50800</xdr:colOff>
      <xdr:row>19</xdr:row>
      <xdr:rowOff>117475</xdr:rowOff>
    </xdr:from>
    <xdr:to>
      <xdr:col>12</xdr:col>
      <xdr:colOff>596800</xdr:colOff>
      <xdr:row>20</xdr:row>
      <xdr:rowOff>106975</xdr:rowOff>
    </xdr:to>
    <xdr:sp macro="[0]!Limpar_Campos_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46900" y="3622675"/>
          <a:ext cx="1155600" cy="180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0</xdr:row>
          <xdr:rowOff>352425</xdr:rowOff>
        </xdr:from>
        <xdr:to>
          <xdr:col>17</xdr:col>
          <xdr:colOff>609600</xdr:colOff>
          <xdr:row>6</xdr:row>
          <xdr:rowOff>123825</xdr:rowOff>
        </xdr:to>
        <xdr:sp macro="" textlink="">
          <xdr:nvSpPr>
            <xdr:cNvPr id="3073" name="Lista Ano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7</xdr:row>
          <xdr:rowOff>38100</xdr:rowOff>
        </xdr:from>
        <xdr:to>
          <xdr:col>17</xdr:col>
          <xdr:colOff>609600</xdr:colOff>
          <xdr:row>15</xdr:row>
          <xdr:rowOff>133350</xdr:rowOff>
        </xdr:to>
        <xdr:sp macro="" textlink="">
          <xdr:nvSpPr>
            <xdr:cNvPr id="3074" name="Lista Mes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466725</xdr:colOff>
      <xdr:row>1</xdr:row>
      <xdr:rowOff>71438</xdr:rowOff>
    </xdr:from>
    <xdr:to>
      <xdr:col>6</xdr:col>
      <xdr:colOff>298725</xdr:colOff>
      <xdr:row>16</xdr:row>
      <xdr:rowOff>93938</xdr:rowOff>
    </xdr:to>
    <xdr:graphicFrame macro="">
      <xdr:nvGraphicFramePr>
        <xdr:cNvPr id="2" name="Fundo do Velocimetro 360º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397125</xdr:colOff>
      <xdr:row>4</xdr:row>
      <xdr:rowOff>39938</xdr:rowOff>
    </xdr:from>
    <xdr:to>
      <xdr:col>5</xdr:col>
      <xdr:colOff>368325</xdr:colOff>
      <xdr:row>13</xdr:row>
      <xdr:rowOff>125438</xdr:rowOff>
    </xdr:to>
    <xdr:graphicFrame macro="">
      <xdr:nvGraphicFramePr>
        <xdr:cNvPr id="3" name="Ponteiro 360º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561525</xdr:colOff>
      <xdr:row>8</xdr:row>
      <xdr:rowOff>51938</xdr:rowOff>
    </xdr:from>
    <xdr:to>
      <xdr:col>4</xdr:col>
      <xdr:colOff>203925</xdr:colOff>
      <xdr:row>9</xdr:row>
      <xdr:rowOff>113438</xdr:rowOff>
    </xdr:to>
    <xdr:sp macro="" textlink="">
      <xdr:nvSpPr>
        <xdr:cNvPr id="4" name="Eixo 360º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390325" y="1642613"/>
          <a:ext cx="252000" cy="252000"/>
        </a:xfrm>
        <a:prstGeom prst="ellipse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noFill/>
            </a:ln>
            <a:noFill/>
          </a:endParaRPr>
        </a:p>
      </xdr:txBody>
    </xdr:sp>
    <xdr:clientData/>
  </xdr:twoCellAnchor>
  <xdr:twoCellAnchor>
    <xdr:from>
      <xdr:col>3</xdr:col>
      <xdr:colOff>447675</xdr:colOff>
      <xdr:row>10</xdr:row>
      <xdr:rowOff>9525</xdr:rowOff>
    </xdr:from>
    <xdr:to>
      <xdr:col>4</xdr:col>
      <xdr:colOff>306075</xdr:colOff>
      <xdr:row>11</xdr:row>
      <xdr:rowOff>49425</xdr:rowOff>
    </xdr:to>
    <xdr:sp macro="" textlink="Ano">
      <xdr:nvSpPr>
        <xdr:cNvPr id="5" name="Odômetro 360º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276475" y="1981200"/>
          <a:ext cx="468000" cy="230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B4D687F-415D-4927-8847-738288380A95}" type="TxLink">
            <a:rPr lang="en-US" sz="1100" b="1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pPr algn="l"/>
            <a:t>2020</a:t>
          </a:fld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221325</xdr:colOff>
      <xdr:row>15</xdr:row>
      <xdr:rowOff>9525</xdr:rowOff>
    </xdr:from>
    <xdr:to>
      <xdr:col>4</xdr:col>
      <xdr:colOff>544125</xdr:colOff>
      <xdr:row>16</xdr:row>
      <xdr:rowOff>99825</xdr:rowOff>
    </xdr:to>
    <xdr:sp macro="" textlink="">
      <xdr:nvSpPr>
        <xdr:cNvPr id="6" name="Meta gráfico 360º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050125" y="2933700"/>
          <a:ext cx="932400" cy="280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chemeClr val="tx1"/>
              </a:solidFill>
            </a:rPr>
            <a:t>Meta Anual</a:t>
          </a:r>
        </a:p>
      </xdr:txBody>
    </xdr:sp>
    <xdr:clientData/>
  </xdr:twoCellAnchor>
  <xdr:twoCellAnchor>
    <xdr:from>
      <xdr:col>11</xdr:col>
      <xdr:colOff>51593</xdr:colOff>
      <xdr:row>3</xdr:row>
      <xdr:rowOff>4763</xdr:rowOff>
    </xdr:from>
    <xdr:to>
      <xdr:col>15</xdr:col>
      <xdr:colOff>493193</xdr:colOff>
      <xdr:row>18</xdr:row>
      <xdr:rowOff>27263</xdr:rowOff>
    </xdr:to>
    <xdr:graphicFrame macro="">
      <xdr:nvGraphicFramePr>
        <xdr:cNvPr id="7" name="Fundo Velocimetro Gráfico 240º 240º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591593</xdr:colOff>
      <xdr:row>5</xdr:row>
      <xdr:rowOff>163763</xdr:rowOff>
    </xdr:from>
    <xdr:to>
      <xdr:col>14</xdr:col>
      <xdr:colOff>562793</xdr:colOff>
      <xdr:row>15</xdr:row>
      <xdr:rowOff>58763</xdr:rowOff>
    </xdr:to>
    <xdr:graphicFrame macro="">
      <xdr:nvGraphicFramePr>
        <xdr:cNvPr id="10" name="Ponteiro Gráfico 240º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146393</xdr:colOff>
      <xdr:row>9</xdr:row>
      <xdr:rowOff>175763</xdr:rowOff>
    </xdr:from>
    <xdr:to>
      <xdr:col>13</xdr:col>
      <xdr:colOff>398393</xdr:colOff>
      <xdr:row>11</xdr:row>
      <xdr:rowOff>46763</xdr:rowOff>
    </xdr:to>
    <xdr:sp macro="" textlink="">
      <xdr:nvSpPr>
        <xdr:cNvPr id="11" name="Eixo Gráfico 240º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071193" y="1956938"/>
          <a:ext cx="252000" cy="252000"/>
        </a:xfrm>
        <a:prstGeom prst="ellipse">
          <a:avLst/>
        </a:prstGeom>
        <a:solidFill>
          <a:schemeClr val="accent2">
            <a:lumMod val="50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320393</xdr:colOff>
      <xdr:row>13</xdr:row>
      <xdr:rowOff>47625</xdr:rowOff>
    </xdr:from>
    <xdr:to>
      <xdr:col>14</xdr:col>
      <xdr:colOff>224393</xdr:colOff>
      <xdr:row>14</xdr:row>
      <xdr:rowOff>87525</xdr:rowOff>
    </xdr:to>
    <xdr:sp macro="" textlink="Auxiliar!F29">
      <xdr:nvSpPr>
        <xdr:cNvPr id="13" name="Odômetro 240º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7635593" y="2590800"/>
          <a:ext cx="1123200" cy="230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9BDA9FC-9D7B-4665-8ADB-6235218AD211}" type="TxLink">
            <a:rPr lang="en-US" sz="1100" b="1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pPr algn="ctr"/>
            <a:t> R$ 80,00 </a:t>
          </a:fld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oneCellAnchor>
    <xdr:from>
      <xdr:col>5</xdr:col>
      <xdr:colOff>561975</xdr:colOff>
      <xdr:row>20</xdr:row>
      <xdr:rowOff>38100</xdr:rowOff>
    </xdr:from>
    <xdr:ext cx="184731" cy="26456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3609975" y="3914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12</xdr:col>
      <xdr:colOff>395993</xdr:colOff>
      <xdr:row>14</xdr:row>
      <xdr:rowOff>161925</xdr:rowOff>
    </xdr:from>
    <xdr:to>
      <xdr:col>14</xdr:col>
      <xdr:colOff>148793</xdr:colOff>
      <xdr:row>16</xdr:row>
      <xdr:rowOff>61725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7711193" y="2895600"/>
          <a:ext cx="972000" cy="280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Meta do Mês</a:t>
          </a:r>
        </a:p>
      </xdr:txBody>
    </xdr:sp>
    <xdr:clientData/>
  </xdr:twoCellAnchor>
  <xdr:twoCellAnchor>
    <xdr:from>
      <xdr:col>12</xdr:col>
      <xdr:colOff>115231</xdr:colOff>
      <xdr:row>2</xdr:row>
      <xdr:rowOff>76200</xdr:rowOff>
    </xdr:from>
    <xdr:to>
      <xdr:col>14</xdr:col>
      <xdr:colOff>429556</xdr:colOff>
      <xdr:row>4</xdr:row>
      <xdr:rowOff>57150</xdr:rowOff>
    </xdr:to>
    <xdr:sp macro="" textlink="Mes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7430431" y="523875"/>
          <a:ext cx="15335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DC62F-A1C7-43B2-82C1-DD1E731C4C14}" type="TxLink">
            <a:rPr lang="en-US" sz="1600" b="1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pPr algn="ctr"/>
            <a:t>Setembro</a:t>
          </a:fld>
          <a:endParaRPr lang="pt-BR" sz="16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58739</xdr:rowOff>
    </xdr:from>
    <xdr:to>
      <xdr:col>18</xdr:col>
      <xdr:colOff>794</xdr:colOff>
      <xdr:row>39</xdr:row>
      <xdr:rowOff>180975</xdr:rowOff>
    </xdr:to>
    <xdr:graphicFrame macro="">
      <xdr:nvGraphicFramePr>
        <xdr:cNvPr id="18" name="Gráfico 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8B17B4-657B-4734-9800-20CED3CE4BF6}" name="banco_de_dados" displayName="banco_de_dados" ref="A1:H2" totalsRowShown="0" headerRowDxfId="12">
  <autoFilter ref="A1:H2" xr:uid="{4F81F6B3-DB37-4BAB-BDE1-89783BB71394}"/>
  <tableColumns count="8">
    <tableColumn id="1" xr3:uid="{4ED974F1-9CAF-4188-A9B5-CD22781D92A5}" name="ID" dataDxfId="11"/>
    <tableColumn id="2" xr3:uid="{5A88C48A-0746-4A82-B01E-FE79F98BF2FC}" name="Data" dataDxfId="10"/>
    <tableColumn id="3" xr3:uid="{86B41F3F-06D1-4A51-9A00-544A97E6D6CC}" name="Diária" dataDxfId="9"/>
    <tableColumn id="4" xr3:uid="{3E5070EB-6DAD-4892-A273-B10F4B37827E}" name="combustível" dataDxfId="8"/>
    <tableColumn id="5" xr3:uid="{CDA2FE55-E203-446F-B330-D54E3C360E7B}" name="Manutenção" dataDxfId="7" totalsRowDxfId="6"/>
    <tableColumn id="6" xr3:uid="{E4DEE0A5-C7F1-49BF-890F-3998ECABDBC2}" name="KM" dataDxfId="5" totalsRowDxfId="4"/>
    <tableColumn id="7" xr3:uid="{4B213C49-583A-415A-ACFD-807F9B3ECA96}" name="Ano" dataDxfId="3" totalsRowDxfId="2">
      <calculatedColumnFormula>YEAR(banco_de_dados[[#This Row],[Data]])</calculatedColumnFormula>
    </tableColumn>
    <tableColumn id="8" xr3:uid="{A66895F7-7E34-4E65-B364-55D6A1B74C36}" name="Mês" dataDxfId="1" totalsRowDxfId="0">
      <calculatedColumnFormula>MONTH(banco_de_dados[[#This Row],[Data]])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067E0-AFFC-4CB1-A5C5-03E32778CA69}">
  <sheetPr codeName="Planilha4"/>
  <dimension ref="A1:Z32"/>
  <sheetViews>
    <sheetView tabSelected="1" topLeftCell="A4" zoomScale="150" zoomScaleNormal="150" workbookViewId="0">
      <selection activeCell="J14" sqref="J14:M14"/>
    </sheetView>
  </sheetViews>
  <sheetFormatPr defaultRowHeight="15" x14ac:dyDescent="0.25"/>
  <cols>
    <col min="9" max="9" width="12" bestFit="1" customWidth="1"/>
  </cols>
  <sheetData>
    <row r="1" spans="1:26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21" x14ac:dyDescent="0.35">
      <c r="A12" s="27"/>
      <c r="B12" s="27"/>
      <c r="C12" s="27"/>
      <c r="D12" s="27"/>
      <c r="E12" s="27"/>
      <c r="F12" s="27"/>
      <c r="G12" s="27"/>
      <c r="H12" s="27"/>
      <c r="I12" s="35" t="s">
        <v>46</v>
      </c>
      <c r="J12" s="35"/>
      <c r="K12" s="35"/>
      <c r="L12" s="35"/>
      <c r="M12" s="35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x14ac:dyDescent="0.25">
      <c r="A13" s="27"/>
      <c r="B13" s="27"/>
      <c r="C13" s="27"/>
      <c r="D13" s="27"/>
      <c r="E13" s="27"/>
      <c r="F13" s="27"/>
      <c r="G13" s="27"/>
      <c r="H13" s="27"/>
      <c r="I13" s="28" t="s">
        <v>44</v>
      </c>
      <c r="J13" s="29">
        <f>MAX(Registros!A:A)+1</f>
        <v>2</v>
      </c>
      <c r="K13" s="29"/>
      <c r="L13" s="29"/>
      <c r="M13" s="29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x14ac:dyDescent="0.25">
      <c r="A14" s="27"/>
      <c r="B14" s="27"/>
      <c r="C14" s="27"/>
      <c r="D14" s="27"/>
      <c r="E14" s="27"/>
      <c r="F14" s="27"/>
      <c r="G14" s="27"/>
      <c r="H14" s="27"/>
      <c r="I14" s="28" t="s">
        <v>45</v>
      </c>
      <c r="J14" s="36"/>
      <c r="K14" s="37"/>
      <c r="L14" s="37"/>
      <c r="M14" s="3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x14ac:dyDescent="0.25">
      <c r="A15" s="27"/>
      <c r="B15" s="27"/>
      <c r="C15" s="27"/>
      <c r="D15" s="27"/>
      <c r="E15" s="27"/>
      <c r="F15" s="27"/>
      <c r="G15" s="27"/>
      <c r="H15" s="27"/>
      <c r="I15" s="28" t="s">
        <v>0</v>
      </c>
      <c r="J15" s="30"/>
      <c r="K15" s="31"/>
      <c r="L15" s="31"/>
      <c r="M15" s="32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x14ac:dyDescent="0.25">
      <c r="A16" s="27"/>
      <c r="B16" s="27"/>
      <c r="C16" s="27"/>
      <c r="D16" s="27"/>
      <c r="E16" s="27"/>
      <c r="F16" s="27"/>
      <c r="G16" s="27"/>
      <c r="H16" s="27"/>
      <c r="I16" s="28" t="s">
        <v>1</v>
      </c>
      <c r="J16" s="38"/>
      <c r="K16" s="38"/>
      <c r="L16" s="38"/>
      <c r="M16" s="38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x14ac:dyDescent="0.25">
      <c r="A17" s="27"/>
      <c r="B17" s="27"/>
      <c r="C17" s="27"/>
      <c r="D17" s="27"/>
      <c r="E17" s="27"/>
      <c r="F17" s="27"/>
      <c r="G17" s="27"/>
      <c r="H17" s="27"/>
      <c r="I17" s="28" t="s">
        <v>2</v>
      </c>
      <c r="J17" s="38"/>
      <c r="K17" s="38"/>
      <c r="L17" s="38"/>
      <c r="M17" s="38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x14ac:dyDescent="0.25">
      <c r="A18" s="27"/>
      <c r="B18" s="27"/>
      <c r="C18" s="27"/>
      <c r="D18" s="27"/>
      <c r="E18" s="27"/>
      <c r="F18" s="27"/>
      <c r="G18" s="27"/>
      <c r="H18" s="27"/>
      <c r="I18" s="28" t="s">
        <v>20</v>
      </c>
      <c r="J18" s="29"/>
      <c r="K18" s="29"/>
      <c r="L18" s="29"/>
      <c r="M18" s="29"/>
      <c r="N18" s="33" t="s">
        <v>48</v>
      </c>
      <c r="O18" s="34"/>
      <c r="P18" s="34"/>
      <c r="Q18" s="34"/>
      <c r="R18" s="27"/>
      <c r="S18" s="27"/>
      <c r="T18" s="27"/>
      <c r="U18" s="27"/>
      <c r="V18" s="27"/>
      <c r="W18" s="27"/>
      <c r="X18" s="27"/>
      <c r="Y18" s="27"/>
      <c r="Z18" s="27"/>
    </row>
    <row r="19" spans="1:26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</sheetData>
  <mergeCells count="8">
    <mergeCell ref="J18:M18"/>
    <mergeCell ref="J15:M15"/>
    <mergeCell ref="N18:Q18"/>
    <mergeCell ref="I12:M12"/>
    <mergeCell ref="J13:M13"/>
    <mergeCell ref="J14:M14"/>
    <mergeCell ref="J16:M16"/>
    <mergeCell ref="J17:M17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FB5DF-286D-4B6B-A0C7-43701AD7F93B}">
  <sheetPr codeName="Planilha1">
    <tabColor theme="9" tint="0.59999389629810485"/>
  </sheetPr>
  <dimension ref="A1:H1933"/>
  <sheetViews>
    <sheetView workbookViewId="0">
      <selection activeCell="F13" sqref="F13"/>
    </sheetView>
  </sheetViews>
  <sheetFormatPr defaultRowHeight="15" x14ac:dyDescent="0.25"/>
  <cols>
    <col min="1" max="1" width="10.28515625" style="3" customWidth="1"/>
    <col min="2" max="2" width="10.7109375" style="1" bestFit="1" customWidth="1"/>
    <col min="3" max="3" width="9.140625" style="2" bestFit="1" customWidth="1"/>
    <col min="4" max="4" width="14" style="2" customWidth="1"/>
    <col min="5" max="5" width="14.28515625" style="2" customWidth="1"/>
    <col min="6" max="6" width="13" style="3" customWidth="1"/>
    <col min="7" max="8" width="12.85546875" style="7" bestFit="1" customWidth="1"/>
    <col min="19" max="19" width="10.7109375" bestFit="1" customWidth="1"/>
  </cols>
  <sheetData>
    <row r="1" spans="1:8" x14ac:dyDescent="0.25">
      <c r="A1" s="3" t="s">
        <v>44</v>
      </c>
      <c r="B1" s="1" t="s">
        <v>45</v>
      </c>
      <c r="C1" s="2" t="s">
        <v>0</v>
      </c>
      <c r="D1" s="2" t="s">
        <v>47</v>
      </c>
      <c r="E1" s="2" t="s">
        <v>2</v>
      </c>
      <c r="F1" s="3" t="s">
        <v>20</v>
      </c>
      <c r="G1" s="7" t="s">
        <v>17</v>
      </c>
      <c r="H1" s="7" t="s">
        <v>18</v>
      </c>
    </row>
    <row r="2" spans="1:8" x14ac:dyDescent="0.25">
      <c r="A2" s="3">
        <v>1</v>
      </c>
      <c r="B2" s="1">
        <v>44075</v>
      </c>
      <c r="C2" s="2">
        <v>100</v>
      </c>
      <c r="D2" s="2">
        <v>20</v>
      </c>
      <c r="E2" s="2">
        <v>0</v>
      </c>
      <c r="F2" s="3">
        <v>50</v>
      </c>
      <c r="G2" s="7">
        <f>YEAR(banco_de_dados[[#This Row],[Data]])</f>
        <v>2020</v>
      </c>
      <c r="H2" s="7">
        <f>MONTH(banco_de_dados[[#This Row],[Data]])</f>
        <v>9</v>
      </c>
    </row>
    <row r="1933" ht="14.25" customHeight="1" x14ac:dyDescent="0.25"/>
  </sheetData>
  <sheetProtection formatCells="0" formatColumns="0" selectLockedCells="1" selectUnlockedCell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4CFDB-E2CC-4159-B747-8EB28209BADD}">
  <sheetPr codeName="Planilha2">
    <tabColor theme="9" tint="0.39997558519241921"/>
  </sheetPr>
  <dimension ref="A1:M31"/>
  <sheetViews>
    <sheetView zoomScale="120" zoomScaleNormal="120" workbookViewId="0">
      <selection activeCell="F28" sqref="F28"/>
    </sheetView>
  </sheetViews>
  <sheetFormatPr defaultRowHeight="15" x14ac:dyDescent="0.25"/>
  <cols>
    <col min="1" max="1" width="11.5703125" bestFit="1" customWidth="1"/>
    <col min="2" max="2" width="13.140625" bestFit="1" customWidth="1"/>
    <col min="3" max="3" width="10.42578125" bestFit="1" customWidth="1"/>
    <col min="4" max="5" width="14.42578125" bestFit="1" customWidth="1"/>
    <col min="6" max="6" width="15" bestFit="1" customWidth="1"/>
    <col min="7" max="7" width="5.42578125" bestFit="1" customWidth="1"/>
    <col min="8" max="8" width="9.42578125" customWidth="1"/>
    <col min="9" max="10" width="19.28515625" bestFit="1" customWidth="1"/>
    <col min="20" max="20" width="11.42578125" bestFit="1" customWidth="1"/>
    <col min="25" max="25" width="11.28515625" bestFit="1" customWidth="1"/>
  </cols>
  <sheetData>
    <row r="1" spans="1:13" ht="27.75" x14ac:dyDescent="0.4">
      <c r="A1" s="49" t="s">
        <v>27</v>
      </c>
      <c r="B1" s="49"/>
      <c r="C1" s="49"/>
      <c r="D1" s="49"/>
      <c r="E1" s="49"/>
      <c r="F1" s="49"/>
      <c r="G1" s="49"/>
      <c r="H1" s="49"/>
      <c r="I1" s="49"/>
      <c r="J1" s="49"/>
    </row>
    <row r="2" spans="1:13" x14ac:dyDescent="0.25">
      <c r="A2" s="50" t="s">
        <v>21</v>
      </c>
      <c r="B2" s="50"/>
      <c r="C2" s="50"/>
      <c r="D2" s="50"/>
      <c r="I2" s="50" t="s">
        <v>23</v>
      </c>
      <c r="J2" s="50"/>
    </row>
    <row r="3" spans="1:13" x14ac:dyDescent="0.25">
      <c r="A3" s="4" t="s">
        <v>3</v>
      </c>
      <c r="B3" s="4" t="s">
        <v>17</v>
      </c>
      <c r="C3" s="4" t="s">
        <v>3</v>
      </c>
      <c r="D3" s="4" t="s">
        <v>18</v>
      </c>
      <c r="I3" s="11" t="str">
        <f>Mes</f>
        <v>Setembro</v>
      </c>
      <c r="J3" s="12">
        <f>Ano</f>
        <v>2020</v>
      </c>
    </row>
    <row r="4" spans="1:13" x14ac:dyDescent="0.25">
      <c r="A4" s="6">
        <v>1</v>
      </c>
      <c r="B4" s="5">
        <f>INDEX(listaAnos,indiceAno)</f>
        <v>2020</v>
      </c>
      <c r="C4" s="6">
        <v>9</v>
      </c>
      <c r="D4" s="5" t="str">
        <f>INDEX(listaMeses,indiceMes)</f>
        <v>Setembro</v>
      </c>
    </row>
    <row r="5" spans="1:13" x14ac:dyDescent="0.25">
      <c r="A5" s="4" t="s">
        <v>17</v>
      </c>
      <c r="B5" s="4" t="s">
        <v>3</v>
      </c>
      <c r="C5" s="4" t="s">
        <v>4</v>
      </c>
      <c r="D5" s="4" t="s">
        <v>22</v>
      </c>
      <c r="E5" s="4" t="s">
        <v>1</v>
      </c>
      <c r="F5" s="4" t="s">
        <v>2</v>
      </c>
      <c r="G5" s="40" t="s">
        <v>26</v>
      </c>
      <c r="H5" s="40"/>
      <c r="I5" s="4" t="s">
        <v>25</v>
      </c>
      <c r="J5" s="4" t="s">
        <v>24</v>
      </c>
    </row>
    <row r="6" spans="1:13" x14ac:dyDescent="0.25">
      <c r="A6" s="9">
        <v>2020</v>
      </c>
      <c r="B6" s="8">
        <v>1</v>
      </c>
      <c r="C6" s="5" t="s">
        <v>5</v>
      </c>
      <c r="D6" s="23">
        <f>IFERROR(SUMIFS(banco_de_dados[Diária],
banco_de_dados[Ano],Ano,
banco_de_dados[Mês],B6),0)</f>
        <v>0</v>
      </c>
      <c r="E6" s="23">
        <f>IFERROR(SUMIFS(banco_de_dados[combustível],
banco_de_dados[Ano],Ano,
banco_de_dados[Mês],B6),0)</f>
        <v>0</v>
      </c>
      <c r="F6" s="23">
        <f>IFERROR(SUMIFS(banco_de_dados[Manutenção],
banco_de_dados[Ano],Ano,
banco_de_dados[Mês],B6),0)</f>
        <v>0</v>
      </c>
      <c r="G6" s="42">
        <f t="shared" ref="G6:G17" si="0">IFERROR(D6-E6-F6,0)</f>
        <v>0</v>
      </c>
      <c r="H6" s="42"/>
      <c r="I6" s="24">
        <f>IFERROR(SUMIFS(banco_de_dados[KM],
banco_de_dados[Ano],Ano,
banco_de_dados[Mês],B6),0)</f>
        <v>0</v>
      </c>
      <c r="J6" s="10">
        <f t="shared" ref="J6:J17" si="1">IFERROR(G6/I6,0)</f>
        <v>0</v>
      </c>
      <c r="K6" s="43" t="s">
        <v>49</v>
      </c>
      <c r="L6" s="44"/>
      <c r="M6" s="45"/>
    </row>
    <row r="7" spans="1:13" x14ac:dyDescent="0.25">
      <c r="A7" s="9">
        <v>2021</v>
      </c>
      <c r="B7" s="8">
        <v>2</v>
      </c>
      <c r="C7" s="5" t="s">
        <v>6</v>
      </c>
      <c r="D7" s="23">
        <f>IFERROR(SUMIFS(banco_de_dados[Diária],
banco_de_dados[Ano],Ano,
banco_de_dados[Mês],B7),0)</f>
        <v>0</v>
      </c>
      <c r="E7" s="23">
        <f>IFERROR(SUMIFS(banco_de_dados[combustível],
banco_de_dados[Ano],Ano,
banco_de_dados[Mês],B7),0)</f>
        <v>0</v>
      </c>
      <c r="F7" s="23">
        <f>IFERROR(SUMIFS(banco_de_dados[Manutenção],
banco_de_dados[Ano],Ano,
banco_de_dados[Mês],B7),0)</f>
        <v>0</v>
      </c>
      <c r="G7" s="42">
        <f t="shared" si="0"/>
        <v>0</v>
      </c>
      <c r="H7" s="42"/>
      <c r="I7" s="24">
        <f>IFERROR(SUMIFS(banco_de_dados[KM],
banco_de_dados[Ano],Ano,
banco_de_dados[Mês],B7),0)</f>
        <v>0</v>
      </c>
      <c r="J7" s="10">
        <f t="shared" si="1"/>
        <v>0</v>
      </c>
      <c r="K7" s="46">
        <f>SUM(G6:H17)/12</f>
        <v>6.666666666666667</v>
      </c>
      <c r="L7" s="47"/>
      <c r="M7" s="48"/>
    </row>
    <row r="8" spans="1:13" x14ac:dyDescent="0.25">
      <c r="A8" s="9"/>
      <c r="B8" s="8">
        <v>3</v>
      </c>
      <c r="C8" s="5" t="s">
        <v>7</v>
      </c>
      <c r="D8" s="23">
        <f>IFERROR(SUMIFS(banco_de_dados[Diária],
banco_de_dados[Ano],Ano,
banco_de_dados[Mês],B8),0)</f>
        <v>0</v>
      </c>
      <c r="E8" s="23">
        <f>IFERROR(SUMIFS(banco_de_dados[combustível],
banco_de_dados[Ano],Ano,
banco_de_dados[Mês],B8),0)</f>
        <v>0</v>
      </c>
      <c r="F8" s="23">
        <f>IFERROR(SUMIFS(banco_de_dados[Manutenção],
banco_de_dados[Ano],Ano,
banco_de_dados[Mês],B8),0)</f>
        <v>0</v>
      </c>
      <c r="G8" s="42">
        <f t="shared" si="0"/>
        <v>0</v>
      </c>
      <c r="H8" s="42"/>
      <c r="I8" s="24">
        <f>IFERROR(SUMIFS(banco_de_dados[KM],
banco_de_dados[Ano],Ano,
banco_de_dados[Mês],B8),0)</f>
        <v>0</v>
      </c>
      <c r="J8" s="10">
        <f t="shared" si="1"/>
        <v>0</v>
      </c>
    </row>
    <row r="9" spans="1:13" x14ac:dyDescent="0.25">
      <c r="A9" s="9"/>
      <c r="B9" s="8">
        <v>4</v>
      </c>
      <c r="C9" s="5" t="s">
        <v>8</v>
      </c>
      <c r="D9" s="23">
        <f>IFERROR(SUMIFS(banco_de_dados[Diária],
banco_de_dados[Ano],Ano,
banco_de_dados[Mês],B9),0)</f>
        <v>0</v>
      </c>
      <c r="E9" s="23">
        <f>IFERROR(SUMIFS(banco_de_dados[combustível],
banco_de_dados[Ano],Ano,
banco_de_dados[Mês],B9),0)</f>
        <v>0</v>
      </c>
      <c r="F9" s="23">
        <f>IFERROR(SUMIFS(banco_de_dados[Manutenção],
banco_de_dados[Ano],Ano,
banco_de_dados[Mês],B9),0)</f>
        <v>0</v>
      </c>
      <c r="G9" s="42">
        <f t="shared" si="0"/>
        <v>0</v>
      </c>
      <c r="H9" s="42"/>
      <c r="I9" s="24">
        <f>IFERROR(SUMIFS(banco_de_dados[KM],
banco_de_dados[Ano],Ano,
banco_de_dados[Mês],B9),0)</f>
        <v>0</v>
      </c>
      <c r="J9" s="10">
        <f t="shared" si="1"/>
        <v>0</v>
      </c>
    </row>
    <row r="10" spans="1:13" x14ac:dyDescent="0.25">
      <c r="A10" s="9"/>
      <c r="B10" s="8">
        <v>5</v>
      </c>
      <c r="C10" s="5" t="s">
        <v>9</v>
      </c>
      <c r="D10" s="23">
        <f>IFERROR(SUMIFS(banco_de_dados[Diária],
banco_de_dados[Ano],Ano,
banco_de_dados[Mês],B10),0)</f>
        <v>0</v>
      </c>
      <c r="E10" s="23">
        <f>IFERROR(SUMIFS(banco_de_dados[combustível],
banco_de_dados[Ano],Ano,
banco_de_dados[Mês],B10),0)</f>
        <v>0</v>
      </c>
      <c r="F10" s="23">
        <f>IFERROR(SUMIFS(banco_de_dados[Manutenção],
banco_de_dados[Ano],Ano,
banco_de_dados[Mês],B10),0)</f>
        <v>0</v>
      </c>
      <c r="G10" s="42">
        <f t="shared" si="0"/>
        <v>0</v>
      </c>
      <c r="H10" s="42"/>
      <c r="I10" s="24">
        <f>IFERROR(SUMIFS(banco_de_dados[KM],
banco_de_dados[Ano],Ano,
banco_de_dados[Mês],B10),0)</f>
        <v>0</v>
      </c>
      <c r="J10" s="10">
        <f t="shared" si="1"/>
        <v>0</v>
      </c>
    </row>
    <row r="11" spans="1:13" x14ac:dyDescent="0.25">
      <c r="A11" s="9"/>
      <c r="B11" s="8">
        <v>6</v>
      </c>
      <c r="C11" s="5" t="s">
        <v>10</v>
      </c>
      <c r="D11" s="23">
        <f>IFERROR(SUMIFS(banco_de_dados[Diária],
banco_de_dados[Ano],Ano,
banco_de_dados[Mês],B11),0)</f>
        <v>0</v>
      </c>
      <c r="E11" s="23">
        <f>IFERROR(SUMIFS(banco_de_dados[combustível],
banco_de_dados[Ano],Ano,
banco_de_dados[Mês],B11),0)</f>
        <v>0</v>
      </c>
      <c r="F11" s="23">
        <f>IFERROR(SUMIFS(banco_de_dados[Manutenção],
banco_de_dados[Ano],Ano,
banco_de_dados[Mês],B11),0)</f>
        <v>0</v>
      </c>
      <c r="G11" s="42">
        <f t="shared" si="0"/>
        <v>0</v>
      </c>
      <c r="H11" s="42"/>
      <c r="I11" s="24">
        <f>IFERROR(SUMIFS(banco_de_dados[KM],
banco_de_dados[Ano],Ano,
banco_de_dados[Mês],B11),0)</f>
        <v>0</v>
      </c>
      <c r="J11" s="10">
        <f t="shared" si="1"/>
        <v>0</v>
      </c>
    </row>
    <row r="12" spans="1:13" x14ac:dyDescent="0.25">
      <c r="A12" s="9"/>
      <c r="B12" s="8">
        <v>7</v>
      </c>
      <c r="C12" s="5" t="s">
        <v>11</v>
      </c>
      <c r="D12" s="23">
        <f>IFERROR(SUMIFS(banco_de_dados[Diária],
banco_de_dados[Ano],Ano,
banco_de_dados[Mês],B12),0)</f>
        <v>0</v>
      </c>
      <c r="E12" s="23">
        <f>IFERROR(SUMIFS(banco_de_dados[combustível],
banco_de_dados[Ano],Ano,
banco_de_dados[Mês],B12),0)</f>
        <v>0</v>
      </c>
      <c r="F12" s="23">
        <f>IFERROR(SUMIFS(banco_de_dados[Manutenção],
banco_de_dados[Ano],Ano,
banco_de_dados[Mês],B12),0)</f>
        <v>0</v>
      </c>
      <c r="G12" s="42">
        <f t="shared" si="0"/>
        <v>0</v>
      </c>
      <c r="H12" s="42"/>
      <c r="I12" s="24">
        <f>IFERROR(SUMIFS(banco_de_dados[KM],
banco_de_dados[Ano],Ano,
banco_de_dados[Mês],B12),0)</f>
        <v>0</v>
      </c>
      <c r="J12" s="10">
        <f t="shared" si="1"/>
        <v>0</v>
      </c>
      <c r="K12" s="41" t="s">
        <v>17</v>
      </c>
      <c r="L12" s="41"/>
      <c r="M12" s="20">
        <f>Ano</f>
        <v>2020</v>
      </c>
    </row>
    <row r="13" spans="1:13" x14ac:dyDescent="0.25">
      <c r="A13" s="9"/>
      <c r="B13" s="8">
        <v>8</v>
      </c>
      <c r="C13" s="5" t="s">
        <v>12</v>
      </c>
      <c r="D13" s="23">
        <f>IFERROR(SUMIFS(banco_de_dados[Diária],
banco_de_dados[Ano],Ano,
banco_de_dados[Mês],B13),0)</f>
        <v>0</v>
      </c>
      <c r="E13" s="23">
        <f>IFERROR(SUMIFS(banco_de_dados[combustível],
banco_de_dados[Ano],Ano,
banco_de_dados[Mês],B13),0)</f>
        <v>0</v>
      </c>
      <c r="F13" s="23">
        <f>IFERROR(SUMIFS(banco_de_dados[Manutenção],
banco_de_dados[Ano],Ano,
banco_de_dados[Mês],B13),0)</f>
        <v>0</v>
      </c>
      <c r="G13" s="42">
        <f t="shared" si="0"/>
        <v>0</v>
      </c>
      <c r="H13" s="42"/>
      <c r="I13" s="24">
        <f>IFERROR(SUMIFS(banco_de_dados[KM],
banco_de_dados[Ano],Ano,
banco_de_dados[Mês],B13),0)</f>
        <v>0</v>
      </c>
      <c r="J13" s="10">
        <f t="shared" si="1"/>
        <v>0</v>
      </c>
      <c r="K13" s="4" t="s">
        <v>4</v>
      </c>
      <c r="L13" s="40" t="s">
        <v>26</v>
      </c>
      <c r="M13" s="40"/>
    </row>
    <row r="14" spans="1:13" x14ac:dyDescent="0.25">
      <c r="A14" s="9"/>
      <c r="B14" s="8">
        <v>9</v>
      </c>
      <c r="C14" s="5" t="s">
        <v>13</v>
      </c>
      <c r="D14" s="23">
        <f>IFERROR(SUMIFS(banco_de_dados[Diária],
banco_de_dados[Ano],Ano,
banco_de_dados[Mês],B14),0)</f>
        <v>100</v>
      </c>
      <c r="E14" s="23">
        <f>IFERROR(SUMIFS(banco_de_dados[combustível],
banco_de_dados[Ano],Ano,
banco_de_dados[Mês],B14),0)</f>
        <v>20</v>
      </c>
      <c r="F14" s="23">
        <f>IFERROR(SUMIFS(banco_de_dados[Manutenção],
banco_de_dados[Ano],Ano,
banco_de_dados[Mês],B14),0)</f>
        <v>0</v>
      </c>
      <c r="G14" s="42">
        <f t="shared" si="0"/>
        <v>80</v>
      </c>
      <c r="H14" s="42"/>
      <c r="I14" s="24">
        <f>IFERROR(SUMIFS(banco_de_dados[KM],
banco_de_dados[Ano],Ano,
banco_de_dados[Mês],B14),0)</f>
        <v>50</v>
      </c>
      <c r="J14" s="10">
        <f t="shared" si="1"/>
        <v>1.6</v>
      </c>
      <c r="K14" s="5" t="s">
        <v>5</v>
      </c>
      <c r="L14" s="42">
        <f t="shared" ref="L14:L25" si="2">G6</f>
        <v>0</v>
      </c>
      <c r="M14" s="42"/>
    </row>
    <row r="15" spans="1:13" x14ac:dyDescent="0.25">
      <c r="A15" s="9"/>
      <c r="B15" s="8">
        <v>10</v>
      </c>
      <c r="C15" s="5" t="s">
        <v>14</v>
      </c>
      <c r="D15" s="23">
        <f>IFERROR(SUMIFS(banco_de_dados[Diária],
banco_de_dados[Ano],Ano,
banco_de_dados[Mês],B15),0)</f>
        <v>0</v>
      </c>
      <c r="E15" s="23">
        <f>IFERROR(SUMIFS(banco_de_dados[combustível],
banco_de_dados[Ano],Ano,
banco_de_dados[Mês],B15),0)</f>
        <v>0</v>
      </c>
      <c r="F15" s="23">
        <f>IFERROR(SUMIFS(banco_de_dados[Manutenção],
banco_de_dados[Ano],Ano,
banco_de_dados[Mês],B15),0)</f>
        <v>0</v>
      </c>
      <c r="G15" s="42">
        <f t="shared" si="0"/>
        <v>0</v>
      </c>
      <c r="H15" s="42"/>
      <c r="I15" s="24">
        <f>IFERROR(SUMIFS(banco_de_dados[KM],
banco_de_dados[Ano],Ano,
banco_de_dados[Mês],B15),0)</f>
        <v>0</v>
      </c>
      <c r="J15" s="10">
        <f t="shared" si="1"/>
        <v>0</v>
      </c>
      <c r="K15" s="5" t="s">
        <v>6</v>
      </c>
      <c r="L15" s="42">
        <f t="shared" si="2"/>
        <v>0</v>
      </c>
      <c r="M15" s="42"/>
    </row>
    <row r="16" spans="1:13" x14ac:dyDescent="0.25">
      <c r="A16" s="9"/>
      <c r="B16" s="8">
        <v>11</v>
      </c>
      <c r="C16" s="5" t="s">
        <v>15</v>
      </c>
      <c r="D16" s="23">
        <f>IFERROR(SUMIFS(banco_de_dados[Diária],
banco_de_dados[Ano],Ano,
banco_de_dados[Mês],B16),0)</f>
        <v>0</v>
      </c>
      <c r="E16" s="23">
        <f>IFERROR(SUMIFS(banco_de_dados[combustível],
banco_de_dados[Ano],Ano,
banco_de_dados[Mês],B16),0)</f>
        <v>0</v>
      </c>
      <c r="F16" s="23">
        <f>IFERROR(SUMIFS(banco_de_dados[Manutenção],
banco_de_dados[Ano],Ano,
banco_de_dados[Mês],B16),0)</f>
        <v>0</v>
      </c>
      <c r="G16" s="42">
        <f t="shared" si="0"/>
        <v>0</v>
      </c>
      <c r="H16" s="42"/>
      <c r="I16" s="24">
        <f>IFERROR(SUMIFS(banco_de_dados[KM],
banco_de_dados[Ano],Ano,
banco_de_dados[Mês],B16),0)</f>
        <v>0</v>
      </c>
      <c r="J16" s="10">
        <f t="shared" si="1"/>
        <v>0</v>
      </c>
      <c r="K16" s="5" t="s">
        <v>7</v>
      </c>
      <c r="L16" s="42">
        <f t="shared" si="2"/>
        <v>0</v>
      </c>
      <c r="M16" s="42"/>
    </row>
    <row r="17" spans="1:13" x14ac:dyDescent="0.25">
      <c r="A17" s="9"/>
      <c r="B17" s="8">
        <v>12</v>
      </c>
      <c r="C17" s="5" t="s">
        <v>16</v>
      </c>
      <c r="D17" s="23">
        <f>IFERROR(SUMIFS(banco_de_dados[Diária],
banco_de_dados[Ano],Ano,
banco_de_dados[Mês],B17),0)</f>
        <v>0</v>
      </c>
      <c r="E17" s="23">
        <f>IFERROR(SUMIFS(banco_de_dados[combustível],
banco_de_dados[Ano],Ano,
banco_de_dados[Mês],B17),0)</f>
        <v>0</v>
      </c>
      <c r="F17" s="23">
        <f>IFERROR(SUMIFS(banco_de_dados[Manutenção],
banco_de_dados[Ano],Ano,
banco_de_dados[Mês],B17),0)</f>
        <v>0</v>
      </c>
      <c r="G17" s="42">
        <f t="shared" si="0"/>
        <v>0</v>
      </c>
      <c r="H17" s="42"/>
      <c r="I17" s="24">
        <f>IFERROR(SUMIFS(banco_de_dados[KM],
banco_de_dados[Ano],Ano,
banco_de_dados[Mês],B17),0)</f>
        <v>0</v>
      </c>
      <c r="J17" s="10">
        <f t="shared" si="1"/>
        <v>0</v>
      </c>
      <c r="K17" s="5" t="s">
        <v>8</v>
      </c>
      <c r="L17" s="42">
        <f t="shared" si="2"/>
        <v>0</v>
      </c>
      <c r="M17" s="42"/>
    </row>
    <row r="18" spans="1:13" x14ac:dyDescent="0.25">
      <c r="A18" s="43" t="s">
        <v>36</v>
      </c>
      <c r="B18" s="44"/>
      <c r="C18" s="44"/>
      <c r="D18" s="45"/>
      <c r="E18" s="39" t="s">
        <v>43</v>
      </c>
      <c r="F18" s="39"/>
      <c r="I18" s="41" t="s">
        <v>28</v>
      </c>
      <c r="J18" s="41"/>
      <c r="K18" s="5" t="s">
        <v>9</v>
      </c>
      <c r="L18" s="42">
        <f t="shared" si="2"/>
        <v>0</v>
      </c>
      <c r="M18" s="42"/>
    </row>
    <row r="19" spans="1:13" x14ac:dyDescent="0.25">
      <c r="A19" s="14" t="s">
        <v>37</v>
      </c>
      <c r="B19" s="15">
        <v>50000</v>
      </c>
      <c r="E19" s="18" t="s">
        <v>29</v>
      </c>
      <c r="F19" s="18" t="s">
        <v>30</v>
      </c>
      <c r="I19" s="18" t="s">
        <v>29</v>
      </c>
      <c r="J19" s="18" t="s">
        <v>30</v>
      </c>
      <c r="K19" s="5" t="s">
        <v>10</v>
      </c>
      <c r="L19" s="42">
        <f t="shared" si="2"/>
        <v>0</v>
      </c>
      <c r="M19" s="42"/>
    </row>
    <row r="20" spans="1:13" x14ac:dyDescent="0.25">
      <c r="A20" s="13" t="s">
        <v>32</v>
      </c>
      <c r="B20" s="15">
        <f>B19-B21</f>
        <v>49920</v>
      </c>
      <c r="E20" s="19" t="s">
        <v>38</v>
      </c>
      <c r="F20" s="20">
        <v>1.5</v>
      </c>
      <c r="I20" s="22">
        <v>0</v>
      </c>
      <c r="J20" s="20">
        <v>1</v>
      </c>
      <c r="K20" s="5" t="s">
        <v>11</v>
      </c>
      <c r="L20" s="42">
        <f t="shared" si="2"/>
        <v>0</v>
      </c>
      <c r="M20" s="42"/>
    </row>
    <row r="21" spans="1:13" x14ac:dyDescent="0.25">
      <c r="A21" s="13" t="s">
        <v>33</v>
      </c>
      <c r="B21" s="15">
        <f>SUM(G6:H17)</f>
        <v>80</v>
      </c>
      <c r="E21" s="19" t="s">
        <v>39</v>
      </c>
      <c r="F21" s="20">
        <v>1</v>
      </c>
      <c r="I21" s="22">
        <v>0.1</v>
      </c>
      <c r="J21" s="20">
        <v>1</v>
      </c>
      <c r="K21" s="5" t="s">
        <v>12</v>
      </c>
      <c r="L21" s="42">
        <f t="shared" si="2"/>
        <v>0</v>
      </c>
      <c r="M21" s="42"/>
    </row>
    <row r="22" spans="1:13" x14ac:dyDescent="0.25">
      <c r="E22" s="19" t="s">
        <v>40</v>
      </c>
      <c r="F22" s="20">
        <v>1</v>
      </c>
      <c r="I22" s="22">
        <v>0.2</v>
      </c>
      <c r="J22" s="20">
        <v>1</v>
      </c>
      <c r="K22" s="5" t="s">
        <v>13</v>
      </c>
      <c r="L22" s="42">
        <f t="shared" si="2"/>
        <v>80</v>
      </c>
      <c r="M22" s="42"/>
    </row>
    <row r="23" spans="1:13" x14ac:dyDescent="0.25">
      <c r="A23" s="16" t="s">
        <v>31</v>
      </c>
      <c r="B23" s="17">
        <v>1</v>
      </c>
      <c r="E23" s="19" t="s">
        <v>41</v>
      </c>
      <c r="F23" s="20">
        <v>0.5</v>
      </c>
      <c r="I23" s="22">
        <v>0.3</v>
      </c>
      <c r="J23" s="20">
        <v>1</v>
      </c>
      <c r="K23" s="5" t="s">
        <v>14</v>
      </c>
      <c r="L23" s="42">
        <f t="shared" si="2"/>
        <v>0</v>
      </c>
      <c r="M23" s="42"/>
    </row>
    <row r="24" spans="1:13" x14ac:dyDescent="0.25">
      <c r="A24" s="16" t="s">
        <v>34</v>
      </c>
      <c r="B24" s="17">
        <f>B21/B19</f>
        <v>1.6000000000000001E-3</v>
      </c>
      <c r="F24" s="21">
        <v>1</v>
      </c>
      <c r="I24" s="22">
        <v>0.4</v>
      </c>
      <c r="J24" s="20">
        <v>1</v>
      </c>
      <c r="K24" s="5" t="s">
        <v>15</v>
      </c>
      <c r="L24" s="42">
        <f t="shared" si="2"/>
        <v>0</v>
      </c>
      <c r="M24" s="42"/>
    </row>
    <row r="25" spans="1:13" x14ac:dyDescent="0.25">
      <c r="A25" s="16" t="s">
        <v>35</v>
      </c>
      <c r="B25" s="17">
        <v>0</v>
      </c>
      <c r="F25" s="21">
        <v>1</v>
      </c>
      <c r="I25" s="22">
        <v>0.5</v>
      </c>
      <c r="J25" s="20">
        <v>1</v>
      </c>
      <c r="K25" s="5" t="s">
        <v>16</v>
      </c>
      <c r="L25" s="42">
        <f t="shared" si="2"/>
        <v>0</v>
      </c>
      <c r="M25" s="42"/>
    </row>
    <row r="26" spans="1:13" x14ac:dyDescent="0.25">
      <c r="A26" s="16" t="s">
        <v>32</v>
      </c>
      <c r="B26" s="17">
        <f>B23-B24-B25</f>
        <v>0.99839999999999995</v>
      </c>
      <c r="I26" s="22">
        <v>0.6</v>
      </c>
      <c r="J26" s="20">
        <v>1</v>
      </c>
    </row>
    <row r="27" spans="1:13" x14ac:dyDescent="0.25">
      <c r="E27" s="39" t="s">
        <v>42</v>
      </c>
      <c r="F27" s="39"/>
      <c r="I27" s="22">
        <v>0.7</v>
      </c>
      <c r="J27" s="20">
        <v>1</v>
      </c>
    </row>
    <row r="28" spans="1:13" x14ac:dyDescent="0.25">
      <c r="E28" s="18" t="s">
        <v>31</v>
      </c>
      <c r="F28" s="25">
        <v>7500</v>
      </c>
      <c r="I28" s="22">
        <v>0.8</v>
      </c>
      <c r="J28" s="20">
        <v>1</v>
      </c>
    </row>
    <row r="29" spans="1:13" x14ac:dyDescent="0.25">
      <c r="E29" s="18" t="s">
        <v>34</v>
      </c>
      <c r="F29" s="26">
        <f>VLOOKUP(Mes,K$14:M$25,2,FALSE)</f>
        <v>80</v>
      </c>
      <c r="I29" s="22">
        <v>0.9</v>
      </c>
      <c r="J29" s="20">
        <v>1</v>
      </c>
    </row>
    <row r="30" spans="1:13" x14ac:dyDescent="0.25">
      <c r="E30" s="18" t="s">
        <v>35</v>
      </c>
      <c r="F30" s="26">
        <v>0</v>
      </c>
    </row>
    <row r="31" spans="1:13" x14ac:dyDescent="0.25">
      <c r="E31" s="18" t="s">
        <v>32</v>
      </c>
      <c r="F31" s="26">
        <f>F28-F29-F30</f>
        <v>7420</v>
      </c>
    </row>
  </sheetData>
  <sheetProtection algorithmName="SHA-512" hashValue="SvYkruVo9nesnrJYah1an0945Z0WCU/6gocI4qL2v9GnzckBlxywAQNVjg8A03N8UOFvt00YsSuOQssfyo6RkQ==" saltValue="IH3kuAnmrcajdcWcDgOJHQ==" spinCount="100000" sheet="1" objects="1" scenarios="1"/>
  <mergeCells count="36">
    <mergeCell ref="K6:M6"/>
    <mergeCell ref="K7:M7"/>
    <mergeCell ref="A1:J1"/>
    <mergeCell ref="G15:H15"/>
    <mergeCell ref="G16:H16"/>
    <mergeCell ref="A2:D2"/>
    <mergeCell ref="K12:L12"/>
    <mergeCell ref="G9:H9"/>
    <mergeCell ref="G10:H10"/>
    <mergeCell ref="G11:H11"/>
    <mergeCell ref="G12:H12"/>
    <mergeCell ref="G13:H13"/>
    <mergeCell ref="G5:H5"/>
    <mergeCell ref="I2:J2"/>
    <mergeCell ref="G6:H6"/>
    <mergeCell ref="G7:H7"/>
    <mergeCell ref="G8:H8"/>
    <mergeCell ref="A18:D18"/>
    <mergeCell ref="L24:M24"/>
    <mergeCell ref="L25:M25"/>
    <mergeCell ref="L19:M19"/>
    <mergeCell ref="L20:M20"/>
    <mergeCell ref="L21:M21"/>
    <mergeCell ref="L22:M22"/>
    <mergeCell ref="L23:M23"/>
    <mergeCell ref="L18:M18"/>
    <mergeCell ref="E18:F18"/>
    <mergeCell ref="E27:F27"/>
    <mergeCell ref="L13:M13"/>
    <mergeCell ref="I18:J18"/>
    <mergeCell ref="L14:M14"/>
    <mergeCell ref="L15:M15"/>
    <mergeCell ref="L16:M16"/>
    <mergeCell ref="L17:M17"/>
    <mergeCell ref="G17:H17"/>
    <mergeCell ref="G14:H14"/>
  </mergeCells>
  <phoneticPr fontId="3" type="noConversion"/>
  <pageMargins left="0.511811024" right="0.511811024" top="0.78740157499999996" bottom="0.78740157499999996" header="0.31496062000000002" footer="0.31496062000000002"/>
  <pageSetup paperSize="9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C2D24-ED1F-41B1-8AA5-3B36DB190DF2}">
  <sheetPr codeName="Planilha3">
    <tabColor theme="9" tint="-0.499984740745262"/>
  </sheetPr>
  <dimension ref="A1:R1"/>
  <sheetViews>
    <sheetView showGridLines="0" topLeftCell="A2" zoomScaleNormal="100" workbookViewId="0">
      <selection activeCell="V26" sqref="V26"/>
    </sheetView>
  </sheetViews>
  <sheetFormatPr defaultRowHeight="15" x14ac:dyDescent="0.25"/>
  <sheetData>
    <row r="1" spans="1:18" ht="20.25" x14ac:dyDescent="0.3">
      <c r="A1" s="51" t="s">
        <v>19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</row>
  </sheetData>
  <sheetProtection algorithmName="SHA-512" hashValue="3klBjNqgpxozo1HZofK/XdlO1k+4g4BNj2zEj8ImnZk5XbG46l6kFpd4lC4IZub0dl2IPRkb8mSAKfBfDzDP/A==" saltValue="/11hPT9tVVn1PAbJSCuLaA==" spinCount="100000" sheet="1" objects="1" scenarios="1"/>
  <mergeCells count="1">
    <mergeCell ref="A1:R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Lista Anos">
              <controlPr defaultSize="0" autoLine="0" autoPict="0">
                <anchor moveWithCells="1">
                  <from>
                    <xdr:col>16</xdr:col>
                    <xdr:colOff>314325</xdr:colOff>
                    <xdr:row>0</xdr:row>
                    <xdr:rowOff>352425</xdr:rowOff>
                  </from>
                  <to>
                    <xdr:col>17</xdr:col>
                    <xdr:colOff>609600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Lista Meses">
              <controlPr defaultSize="0" autoLine="0" autoPict="0">
                <anchor moveWithCells="1">
                  <from>
                    <xdr:col>16</xdr:col>
                    <xdr:colOff>314325</xdr:colOff>
                    <xdr:row>7</xdr:row>
                    <xdr:rowOff>38100</xdr:rowOff>
                  </from>
                  <to>
                    <xdr:col>17</xdr:col>
                    <xdr:colOff>609600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68F441-42FA-459D-BEC2-7F668D8445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6</vt:i4>
      </vt:variant>
    </vt:vector>
  </HeadingPairs>
  <TitlesOfParts>
    <vt:vector size="10" baseType="lpstr">
      <vt:lpstr>Planilha1</vt:lpstr>
      <vt:lpstr>Registros</vt:lpstr>
      <vt:lpstr>Auxiliar</vt:lpstr>
      <vt:lpstr>Dashboard</vt:lpstr>
      <vt:lpstr>Ano</vt:lpstr>
      <vt:lpstr>indiceAno</vt:lpstr>
      <vt:lpstr>indiceMes</vt:lpstr>
      <vt:lpstr>listaAnos</vt:lpstr>
      <vt:lpstr>listaMeses</vt:lpstr>
      <vt:lpstr>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SANCHES</dc:creator>
  <cp:lastModifiedBy>EDUARDO SANCHES</cp:lastModifiedBy>
  <dcterms:created xsi:type="dcterms:W3CDTF">2020-08-20T13:45:54Z</dcterms:created>
  <dcterms:modified xsi:type="dcterms:W3CDTF">2020-09-01T20:47:21Z</dcterms:modified>
</cp:coreProperties>
</file>